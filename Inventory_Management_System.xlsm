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5600" windowHeight="9660"/>
  </bookViews>
  <sheets>
    <sheet name="Home" sheetId="1" r:id="rId1"/>
    <sheet name="Purchase" sheetId="2" r:id="rId2"/>
    <sheet name="Sale" sheetId="3" r:id="rId3"/>
    <sheet name="Stock" sheetId="4" r:id="rId4"/>
  </sheets>
  <definedNames>
    <definedName name="_xlnm._FilterDatabase" localSheetId="1" hidden="1">Purchase!$D$3:$D$7</definedName>
    <definedName name="_xlnm.Criteria" localSheetId="3">Stock!$G$3:$G$4</definedName>
    <definedName name="_xlnm.Extract" localSheetId="3">Stock!$B$3</definedName>
  </definedNames>
  <calcPr calcId="124519"/>
</workbook>
</file>

<file path=xl/calcChain.xml><?xml version="1.0" encoding="utf-8"?>
<calcChain xmlns="http://schemas.openxmlformats.org/spreadsheetml/2006/main">
  <c r="C4" i="4"/>
  <c r="D7" i="1"/>
  <c r="D4" i="4"/>
  <c r="D5"/>
  <c r="D6"/>
  <c r="D7"/>
  <c r="D8"/>
  <c r="D9"/>
  <c r="D10"/>
  <c r="D11"/>
  <c r="D12"/>
  <c r="D13"/>
  <c r="D14"/>
  <c r="D15"/>
  <c r="C5"/>
  <c r="C6"/>
  <c r="C7"/>
  <c r="C8"/>
  <c r="C9"/>
  <c r="C10"/>
  <c r="C11"/>
  <c r="C12"/>
  <c r="C13"/>
  <c r="C14"/>
  <c r="C15"/>
  <c r="G4"/>
  <c r="E8" l="1"/>
  <c r="E6"/>
  <c r="E10"/>
  <c r="E9"/>
  <c r="E4"/>
  <c r="E12" i="1" s="1"/>
  <c r="E15" i="4"/>
  <c r="E14"/>
  <c r="E7"/>
  <c r="E12"/>
  <c r="E11"/>
  <c r="E13"/>
  <c r="E5"/>
</calcChain>
</file>

<file path=xl/sharedStrings.xml><?xml version="1.0" encoding="utf-8"?>
<sst xmlns="http://schemas.openxmlformats.org/spreadsheetml/2006/main" count="27" uniqueCount="20">
  <si>
    <t>Last Billed :</t>
  </si>
  <si>
    <t>Entry Type :</t>
  </si>
  <si>
    <t>Bill No :</t>
  </si>
  <si>
    <t>Date :</t>
  </si>
  <si>
    <t>Item :</t>
  </si>
  <si>
    <t>Qty :</t>
  </si>
  <si>
    <t>Rate :</t>
  </si>
  <si>
    <t xml:space="preserve">Purchase Entry </t>
  </si>
  <si>
    <t>Bill No</t>
  </si>
  <si>
    <t>Date</t>
  </si>
  <si>
    <t>Item</t>
  </si>
  <si>
    <t>Qty</t>
  </si>
  <si>
    <t>Rate</t>
  </si>
  <si>
    <t>Purchase Entry</t>
  </si>
  <si>
    <t>P Qty</t>
  </si>
  <si>
    <t>S Qty</t>
  </si>
  <si>
    <t>Stock</t>
  </si>
  <si>
    <t>Sales Entry</t>
  </si>
  <si>
    <t>item</t>
  </si>
  <si>
    <t>Purchase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</si>
</sst>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3" fillId="5" borderId="1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6" xfId="0" applyNumberFormat="1" applyBorder="1"/>
    <xf numFmtId="0" fontId="0" fillId="0" borderId="6" xfId="0" applyBorder="1"/>
    <xf numFmtId="14" fontId="0" fillId="0" borderId="6" xfId="0" applyNumberFormat="1" applyBorder="1"/>
    <xf numFmtId="0" fontId="1" fillId="2" borderId="6" xfId="0" applyFont="1" applyFill="1" applyBorder="1" applyProtection="1"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1" fillId="4" borderId="6" xfId="0" applyFont="1" applyFill="1" applyBorder="1" applyProtection="1">
      <protection hidden="1"/>
    </xf>
    <xf numFmtId="0" fontId="0" fillId="0" borderId="6" xfId="0" applyBorder="1" applyAlignment="1" applyProtection="1">
      <alignment horizontal="right"/>
      <protection hidden="1"/>
    </xf>
    <xf numFmtId="0" fontId="0" fillId="0" borderId="6" xfId="0" applyBorder="1" applyProtection="1">
      <protection hidden="1"/>
    </xf>
    <xf numFmtId="14" fontId="0" fillId="0" borderId="6" xfId="0" applyNumberFormat="1" applyBorder="1" applyProtection="1">
      <protection hidden="1"/>
    </xf>
    <xf numFmtId="0" fontId="5" fillId="0" borderId="0" xfId="0" applyFont="1" applyProtection="1">
      <protection hidden="1"/>
    </xf>
    <xf numFmtId="0" fontId="2" fillId="0" borderId="0" xfId="0" applyFont="1" applyAlignment="1" applyProtection="1">
      <alignment horizontal="center"/>
      <protection hidden="1"/>
    </xf>
  </cellXfs>
  <cellStyles count="1">
    <cellStyle name="Normal" xfId="0" builtinId="0"/>
  </cellStyles>
  <dxfs count="14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ale!A1"/><Relationship Id="rId2" Type="http://schemas.openxmlformats.org/officeDocument/2006/relationships/hyperlink" Target="#Purchase!A1"/><Relationship Id="rId1" Type="http://schemas.openxmlformats.org/officeDocument/2006/relationships/hyperlink" Target="#Stock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Sale!A1"/><Relationship Id="rId2" Type="http://schemas.openxmlformats.org/officeDocument/2006/relationships/hyperlink" Target="#Purchase!A1"/><Relationship Id="rId1" Type="http://schemas.openxmlformats.org/officeDocument/2006/relationships/hyperlink" Target="#Stock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ale!A1"/><Relationship Id="rId2" Type="http://schemas.openxmlformats.org/officeDocument/2006/relationships/hyperlink" Target="#Purchase!A1"/><Relationship Id="rId1" Type="http://schemas.openxmlformats.org/officeDocument/2006/relationships/hyperlink" Target="#Stoc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Sale!A1"/><Relationship Id="rId2" Type="http://schemas.openxmlformats.org/officeDocument/2006/relationships/hyperlink" Target="#Purchase!A1"/><Relationship Id="rId1" Type="http://schemas.openxmlformats.org/officeDocument/2006/relationships/hyperlink" Target="#Stock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14</xdr:row>
      <xdr:rowOff>19049</xdr:rowOff>
    </xdr:from>
    <xdr:to>
      <xdr:col>1</xdr:col>
      <xdr:colOff>1143000</xdr:colOff>
      <xdr:row>15</xdr:row>
      <xdr:rowOff>161924</xdr:rowOff>
    </xdr:to>
    <xdr:sp macro="[0]!p" textlink="">
      <xdr:nvSpPr>
        <xdr:cNvPr id="2" name="Rectangle 1"/>
        <xdr:cNvSpPr/>
      </xdr:nvSpPr>
      <xdr:spPr>
        <a:xfrm>
          <a:off x="628650" y="2162174"/>
          <a:ext cx="112395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Purchase</a:t>
          </a:r>
          <a:r>
            <a:rPr lang="en-US" sz="1100" baseline="0"/>
            <a:t> </a:t>
          </a:r>
          <a:r>
            <a:rPr lang="en-US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Entry</a:t>
          </a:r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9524</xdr:colOff>
      <xdr:row>14</xdr:row>
      <xdr:rowOff>28575</xdr:rowOff>
    </xdr:from>
    <xdr:to>
      <xdr:col>3</xdr:col>
      <xdr:colOff>1190625</xdr:colOff>
      <xdr:row>15</xdr:row>
      <xdr:rowOff>161924</xdr:rowOff>
    </xdr:to>
    <xdr:sp macro="[0]!s" textlink="">
      <xdr:nvSpPr>
        <xdr:cNvPr id="3" name="Rectangle 2"/>
        <xdr:cNvSpPr/>
      </xdr:nvSpPr>
      <xdr:spPr>
        <a:xfrm>
          <a:off x="1904999" y="2171700"/>
          <a:ext cx="1181101" cy="32384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aseline="0"/>
            <a:t>Sale </a:t>
          </a:r>
          <a:r>
            <a:rPr lang="en-US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Entry</a:t>
          </a:r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0</xdr:colOff>
      <xdr:row>11</xdr:row>
      <xdr:rowOff>9524</xdr:rowOff>
    </xdr:from>
    <xdr:to>
      <xdr:col>6</xdr:col>
      <xdr:colOff>0</xdr:colOff>
      <xdr:row>12</xdr:row>
      <xdr:rowOff>190499</xdr:rowOff>
    </xdr:to>
    <xdr:sp macro="" textlink="">
      <xdr:nvSpPr>
        <xdr:cNvPr id="4" name="Rectangle 3">
          <a:hlinkClick xmlns:r="http://schemas.openxmlformats.org/officeDocument/2006/relationships" r:id="rId1"/>
        </xdr:cNvPr>
        <xdr:cNvSpPr/>
      </xdr:nvSpPr>
      <xdr:spPr>
        <a:xfrm>
          <a:off x="4286250" y="2143124"/>
          <a:ext cx="11144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Stock</a:t>
          </a:r>
        </a:p>
      </xdr:txBody>
    </xdr:sp>
    <xdr:clientData/>
  </xdr:twoCellAnchor>
  <xdr:twoCellAnchor>
    <xdr:from>
      <xdr:col>5</xdr:col>
      <xdr:colOff>9525</xdr:colOff>
      <xdr:row>5</xdr:row>
      <xdr:rowOff>9524</xdr:rowOff>
    </xdr:from>
    <xdr:to>
      <xdr:col>5</xdr:col>
      <xdr:colOff>1104900</xdr:colOff>
      <xdr:row>6</xdr:row>
      <xdr:rowOff>180975</xdr:rowOff>
    </xdr:to>
    <xdr:sp macro="[0]!p" textlink="">
      <xdr:nvSpPr>
        <xdr:cNvPr id="5" name="Rectangle 4">
          <a:hlinkClick xmlns:r="http://schemas.openxmlformats.org/officeDocument/2006/relationships" r:id="rId2"/>
        </xdr:cNvPr>
        <xdr:cNvSpPr/>
      </xdr:nvSpPr>
      <xdr:spPr>
        <a:xfrm>
          <a:off x="4295775" y="971549"/>
          <a:ext cx="1095375" cy="3714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Purchase</a:t>
          </a:r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1095375</xdr:colOff>
      <xdr:row>9</xdr:row>
      <xdr:rowOff>171450</xdr:rowOff>
    </xdr:to>
    <xdr:sp macro="[0]!s" textlink="">
      <xdr:nvSpPr>
        <xdr:cNvPr id="6" name="Rectangle 5">
          <a:hlinkClick xmlns:r="http://schemas.openxmlformats.org/officeDocument/2006/relationships" r:id="rId3"/>
        </xdr:cNvPr>
        <xdr:cNvSpPr/>
      </xdr:nvSpPr>
      <xdr:spPr>
        <a:xfrm>
          <a:off x="4286250" y="1562100"/>
          <a:ext cx="1095375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aseline="0"/>
            <a:t>Sale </a:t>
          </a:r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180975</xdr:rowOff>
    </xdr:from>
    <xdr:to>
      <xdr:col>8</xdr:col>
      <xdr:colOff>504825</xdr:colOff>
      <xdr:row>9</xdr:row>
      <xdr:rowOff>152400</xdr:rowOff>
    </xdr:to>
    <xdr:sp macro="" textlink="">
      <xdr:nvSpPr>
        <xdr:cNvPr id="2" name="Rectangle 1">
          <a:hlinkClick xmlns:r="http://schemas.openxmlformats.org/officeDocument/2006/relationships" r:id="rId1"/>
        </xdr:cNvPr>
        <xdr:cNvSpPr/>
      </xdr:nvSpPr>
      <xdr:spPr>
        <a:xfrm>
          <a:off x="4352925" y="1552575"/>
          <a:ext cx="11144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Stock</a:t>
          </a:r>
        </a:p>
      </xdr:txBody>
    </xdr:sp>
    <xdr:clientData/>
  </xdr:twoCellAnchor>
  <xdr:twoCellAnchor>
    <xdr:from>
      <xdr:col>7</xdr:col>
      <xdr:colOff>9525</xdr:colOff>
      <xdr:row>2</xdr:row>
      <xdr:rowOff>0</xdr:rowOff>
    </xdr:from>
    <xdr:to>
      <xdr:col>8</xdr:col>
      <xdr:colOff>495300</xdr:colOff>
      <xdr:row>3</xdr:row>
      <xdr:rowOff>180976</xdr:rowOff>
    </xdr:to>
    <xdr:sp macro="[0]!p" textlink="">
      <xdr:nvSpPr>
        <xdr:cNvPr id="3" name="Rectangle 2">
          <a:hlinkClick xmlns:r="http://schemas.openxmlformats.org/officeDocument/2006/relationships" r:id="rId2"/>
        </xdr:cNvPr>
        <xdr:cNvSpPr/>
      </xdr:nvSpPr>
      <xdr:spPr>
        <a:xfrm>
          <a:off x="4362450" y="381000"/>
          <a:ext cx="1095375" cy="3714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Purchase</a:t>
          </a:r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0</xdr:colOff>
      <xdr:row>5</xdr:row>
      <xdr:rowOff>1</xdr:rowOff>
    </xdr:from>
    <xdr:to>
      <xdr:col>8</xdr:col>
      <xdr:colOff>485775</xdr:colOff>
      <xdr:row>6</xdr:row>
      <xdr:rowOff>161926</xdr:rowOff>
    </xdr:to>
    <xdr:sp macro="[0]!s" textlink="">
      <xdr:nvSpPr>
        <xdr:cNvPr id="4" name="Rectangle 3">
          <a:hlinkClick xmlns:r="http://schemas.openxmlformats.org/officeDocument/2006/relationships" r:id="rId3"/>
        </xdr:cNvPr>
        <xdr:cNvSpPr/>
      </xdr:nvSpPr>
      <xdr:spPr>
        <a:xfrm>
          <a:off x="4352925" y="971551"/>
          <a:ext cx="1095375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aseline="0"/>
            <a:t>Sale </a:t>
          </a:r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6</xdr:row>
      <xdr:rowOff>190500</xdr:rowOff>
    </xdr:from>
    <xdr:to>
      <xdr:col>8</xdr:col>
      <xdr:colOff>504825</xdr:colOff>
      <xdr:row>8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</xdr:cNvPr>
        <xdr:cNvSpPr/>
      </xdr:nvSpPr>
      <xdr:spPr>
        <a:xfrm>
          <a:off x="4352925" y="1362075"/>
          <a:ext cx="11144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Stock</a:t>
          </a:r>
        </a:p>
      </xdr:txBody>
    </xdr:sp>
    <xdr:clientData/>
  </xdr:twoCellAnchor>
  <xdr:twoCellAnchor>
    <xdr:from>
      <xdr:col>7</xdr:col>
      <xdr:colOff>9525</xdr:colOff>
      <xdr:row>1</xdr:row>
      <xdr:rowOff>0</xdr:rowOff>
    </xdr:from>
    <xdr:to>
      <xdr:col>8</xdr:col>
      <xdr:colOff>495300</xdr:colOff>
      <xdr:row>2</xdr:row>
      <xdr:rowOff>180976</xdr:rowOff>
    </xdr:to>
    <xdr:sp macro="[0]!p" textlink="">
      <xdr:nvSpPr>
        <xdr:cNvPr id="3" name="Rectangle 2">
          <a:hlinkClick xmlns:r="http://schemas.openxmlformats.org/officeDocument/2006/relationships" r:id="rId2"/>
        </xdr:cNvPr>
        <xdr:cNvSpPr/>
      </xdr:nvSpPr>
      <xdr:spPr>
        <a:xfrm>
          <a:off x="4362450" y="190500"/>
          <a:ext cx="1095375" cy="3714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Purchase</a:t>
          </a:r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0</xdr:colOff>
      <xdr:row>4</xdr:row>
      <xdr:rowOff>9526</xdr:rowOff>
    </xdr:from>
    <xdr:to>
      <xdr:col>8</xdr:col>
      <xdr:colOff>485775</xdr:colOff>
      <xdr:row>5</xdr:row>
      <xdr:rowOff>171451</xdr:rowOff>
    </xdr:to>
    <xdr:sp macro="[0]!s" textlink="">
      <xdr:nvSpPr>
        <xdr:cNvPr id="4" name="Rectangle 3">
          <a:hlinkClick xmlns:r="http://schemas.openxmlformats.org/officeDocument/2006/relationships" r:id="rId3"/>
        </xdr:cNvPr>
        <xdr:cNvSpPr/>
      </xdr:nvSpPr>
      <xdr:spPr>
        <a:xfrm>
          <a:off x="4352925" y="781051"/>
          <a:ext cx="1095375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aseline="0"/>
            <a:t>Sale </a:t>
          </a:r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1</xdr:row>
      <xdr:rowOff>0</xdr:rowOff>
    </xdr:from>
    <xdr:to>
      <xdr:col>9</xdr:col>
      <xdr:colOff>9525</xdr:colOff>
      <xdr:row>2</xdr:row>
      <xdr:rowOff>161925</xdr:rowOff>
    </xdr:to>
    <xdr:sp macro="[0]!ref" textlink="">
      <xdr:nvSpPr>
        <xdr:cNvPr id="3" name="Rectangle 2"/>
        <xdr:cNvSpPr/>
      </xdr:nvSpPr>
      <xdr:spPr>
        <a:xfrm>
          <a:off x="4619625" y="190500"/>
          <a:ext cx="1209675" cy="3524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Refresh</a:t>
          </a:r>
        </a:p>
      </xdr:txBody>
    </xdr:sp>
    <xdr:clientData/>
  </xdr:twoCellAnchor>
  <xdr:twoCellAnchor>
    <xdr:from>
      <xdr:col>6</xdr:col>
      <xdr:colOff>0</xdr:colOff>
      <xdr:row>10</xdr:row>
      <xdr:rowOff>28575</xdr:rowOff>
    </xdr:from>
    <xdr:to>
      <xdr:col>8</xdr:col>
      <xdr:colOff>504825</xdr:colOff>
      <xdr:row>12</xdr:row>
      <xdr:rowOff>19050</xdr:rowOff>
    </xdr:to>
    <xdr:sp macro="" textlink="">
      <xdr:nvSpPr>
        <xdr:cNvPr id="4" name="Rectangle 3">
          <a:hlinkClick xmlns:r="http://schemas.openxmlformats.org/officeDocument/2006/relationships" r:id="rId1"/>
        </xdr:cNvPr>
        <xdr:cNvSpPr/>
      </xdr:nvSpPr>
      <xdr:spPr>
        <a:xfrm>
          <a:off x="4600575" y="1933575"/>
          <a:ext cx="11144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Stock</a:t>
          </a:r>
        </a:p>
      </xdr:txBody>
    </xdr:sp>
    <xdr:clientData/>
  </xdr:twoCellAnchor>
  <xdr:twoCellAnchor>
    <xdr:from>
      <xdr:col>7</xdr:col>
      <xdr:colOff>9525</xdr:colOff>
      <xdr:row>4</xdr:row>
      <xdr:rowOff>0</xdr:rowOff>
    </xdr:from>
    <xdr:to>
      <xdr:col>8</xdr:col>
      <xdr:colOff>495300</xdr:colOff>
      <xdr:row>5</xdr:row>
      <xdr:rowOff>180976</xdr:rowOff>
    </xdr:to>
    <xdr:sp macro="[0]!p" textlink="">
      <xdr:nvSpPr>
        <xdr:cNvPr id="5" name="Rectangle 4">
          <a:hlinkClick xmlns:r="http://schemas.openxmlformats.org/officeDocument/2006/relationships" r:id="rId2"/>
        </xdr:cNvPr>
        <xdr:cNvSpPr/>
      </xdr:nvSpPr>
      <xdr:spPr>
        <a:xfrm>
          <a:off x="4610100" y="762000"/>
          <a:ext cx="1095375" cy="3714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Purchase</a:t>
          </a:r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0</xdr:colOff>
      <xdr:row>7</xdr:row>
      <xdr:rowOff>19051</xdr:rowOff>
    </xdr:from>
    <xdr:to>
      <xdr:col>8</xdr:col>
      <xdr:colOff>485775</xdr:colOff>
      <xdr:row>9</xdr:row>
      <xdr:rowOff>1</xdr:rowOff>
    </xdr:to>
    <xdr:sp macro="[0]!s" textlink="">
      <xdr:nvSpPr>
        <xdr:cNvPr id="6" name="Rectangle 5">
          <a:hlinkClick xmlns:r="http://schemas.openxmlformats.org/officeDocument/2006/relationships" r:id="rId3"/>
        </xdr:cNvPr>
        <xdr:cNvSpPr/>
      </xdr:nvSpPr>
      <xdr:spPr>
        <a:xfrm>
          <a:off x="4600575" y="1352551"/>
          <a:ext cx="1095375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aseline="0"/>
            <a:t>Sale </a:t>
          </a:r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B3:F7" totalsRowShown="0">
  <tableColumns count="5">
    <tableColumn id="1" name="Bill No" dataDxfId="9"/>
    <tableColumn id="2" name="Date" dataDxfId="8"/>
    <tableColumn id="3" name="Item" dataDxfId="7"/>
    <tableColumn id="4" name="Qty" dataDxfId="6"/>
    <tableColumn id="5" name="Rate" dataDxfId="5"/>
  </tableColumns>
  <tableStyleInfo name="TableStyleMedium9" showFirstColumn="0" showLastColumn="0" showRowStripes="0" showColumnStripes="0"/>
</table>
</file>

<file path=xl/tables/table2.xml><?xml version="1.0" encoding="utf-8"?>
<table xmlns="http://schemas.openxmlformats.org/spreadsheetml/2006/main" id="2" name="Table13" displayName="Table13" ref="B3:F5" totalsRowShown="0">
  <tableColumns count="5">
    <tableColumn id="1" name="Bill No" dataDxfId="4"/>
    <tableColumn id="2" name="Date" dataDxfId="3"/>
    <tableColumn id="3" name="Item" dataDxfId="2"/>
    <tableColumn id="4" name="Qty" dataDxfId="1"/>
    <tableColumn id="5" name="Rate" dataDxfId="0"/>
  </tableColumns>
  <tableStyleInfo name="TableStyleMedium9" showFirstColumn="0" showLastColumn="0" showRowStripes="0" showColumnStripes="0"/>
</table>
</file>

<file path=xl/tables/table3.xml><?xml version="1.0" encoding="utf-8"?>
<table xmlns="http://schemas.openxmlformats.org/spreadsheetml/2006/main" id="3" name="Table3" displayName="Table3" ref="B3:E15" totalsRowShown="0">
  <tableColumns count="4">
    <tableColumn id="1" name="Item" dataDxfId="13"/>
    <tableColumn id="2" name="P Qty" dataDxfId="12">
      <calculatedColumnFormula>SUMIF(Table1[[#All],[Item]],Table3[[#This Row],[Item]],Table1[[#All],[Qty]])</calculatedColumnFormula>
    </tableColumn>
    <tableColumn id="3" name="S Qty" dataDxfId="11">
      <calculatedColumnFormula>SUMIF(Table13[[#All],[Item]],Table3[[#This Row],[Item]],Table13[[#All],[Qty]])</calculatedColumnFormula>
    </tableColumn>
    <tableColumn id="4" name="Stock" dataDxfId="10">
      <calculatedColumnFormula>Table3[[#This Row],[P Qty]]-Table3[[#This Row],[S Qty]]</calculatedColumnFormula>
    </tableColumn>
  </tableColumns>
  <tableStyleInfo name="TableStyleMedium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6:F17"/>
  <sheetViews>
    <sheetView tabSelected="1" workbookViewId="0">
      <selection activeCell="D9" sqref="D9"/>
    </sheetView>
  </sheetViews>
  <sheetFormatPr defaultRowHeight="15"/>
  <cols>
    <col min="2" max="2" width="17.5703125" customWidth="1"/>
    <col min="3" max="3" width="2" customWidth="1"/>
    <col min="4" max="4" width="17.140625" customWidth="1"/>
    <col min="5" max="5" width="18.42578125" bestFit="1" customWidth="1"/>
    <col min="6" max="6" width="16.7109375" customWidth="1"/>
    <col min="7" max="7" width="10.140625" bestFit="1" customWidth="1"/>
  </cols>
  <sheetData>
    <row r="6" spans="2:6">
      <c r="B6" s="15" t="s">
        <v>1</v>
      </c>
      <c r="C6" s="16"/>
      <c r="D6" s="15" t="s">
        <v>19</v>
      </c>
      <c r="E6" s="17"/>
      <c r="F6" s="17"/>
    </row>
    <row r="7" spans="2:6">
      <c r="B7" s="18" t="s">
        <v>0</v>
      </c>
      <c r="C7" s="16"/>
      <c r="D7" s="18">
        <f>IF(D6="Purchase",MAX(Table1[[#All],[Bill No]]),MAX(Table13[[#All],[Bill No]]))</f>
        <v>0</v>
      </c>
      <c r="E7" s="17"/>
      <c r="F7" s="17"/>
    </row>
    <row r="8" spans="2:6">
      <c r="B8" s="17"/>
      <c r="C8" s="17"/>
      <c r="D8" s="17"/>
      <c r="E8" s="17"/>
      <c r="F8" s="17"/>
    </row>
    <row r="9" spans="2:6">
      <c r="B9" s="19" t="s">
        <v>2</v>
      </c>
      <c r="C9" s="17"/>
      <c r="D9" s="20"/>
      <c r="E9" s="17"/>
      <c r="F9" s="17"/>
    </row>
    <row r="10" spans="2:6">
      <c r="B10" s="19" t="s">
        <v>3</v>
      </c>
      <c r="C10" s="17"/>
      <c r="D10" s="21"/>
      <c r="E10" s="17"/>
      <c r="F10" s="17"/>
    </row>
    <row r="11" spans="2:6">
      <c r="B11" s="19" t="s">
        <v>4</v>
      </c>
      <c r="C11" s="17"/>
      <c r="D11" s="19"/>
      <c r="E11" s="17"/>
      <c r="F11" s="17"/>
    </row>
    <row r="12" spans="2:6">
      <c r="B12" s="19" t="s">
        <v>5</v>
      </c>
      <c r="C12" s="17"/>
      <c r="D12" s="20"/>
      <c r="E12" s="22" t="str">
        <f>IFERROR(IF(D6="Purchase","",IF(VLOOKUP(D11,Table3[#All],4,0)&lt;D12,"Stock Not Available","")),"")</f>
        <v/>
      </c>
      <c r="F12" s="17"/>
    </row>
    <row r="13" spans="2:6">
      <c r="B13" s="19" t="s">
        <v>6</v>
      </c>
      <c r="C13" s="17"/>
      <c r="D13" s="20"/>
      <c r="E13" s="17"/>
      <c r="F13" s="17"/>
    </row>
    <row r="14" spans="2:6">
      <c r="B14" s="17"/>
      <c r="C14" s="17"/>
      <c r="D14" s="17"/>
      <c r="E14" s="17"/>
      <c r="F14" s="17"/>
    </row>
    <row r="15" spans="2:6">
      <c r="B15" s="17"/>
      <c r="C15" s="17"/>
      <c r="D15" s="23" t="s">
        <v>7</v>
      </c>
      <c r="E15" s="17"/>
      <c r="F15" s="17"/>
    </row>
    <row r="16" spans="2:6">
      <c r="B16" s="17"/>
      <c r="C16" s="17"/>
      <c r="D16" s="17"/>
      <c r="E16" s="17"/>
      <c r="F16" s="17"/>
    </row>
    <row r="17" spans="2:6">
      <c r="B17" s="17"/>
      <c r="C17" s="17"/>
      <c r="D17" s="17"/>
      <c r="E17" s="17"/>
      <c r="F17" s="17"/>
    </row>
  </sheetData>
  <sheetProtection password="CF7A" sheet="1" objects="1" scenarios="1"/>
  <dataValidations count="1">
    <dataValidation type="list" allowBlank="1" showInputMessage="1" showErrorMessage="1" sqref="D6">
      <formula1>"Sale , Purchase"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F7"/>
  <sheetViews>
    <sheetView workbookViewId="0">
      <selection activeCell="B4" sqref="B4:F4"/>
    </sheetView>
  </sheetViews>
  <sheetFormatPr defaultRowHeight="15"/>
  <cols>
    <col min="3" max="3" width="10.42578125" bestFit="1" customWidth="1"/>
  </cols>
  <sheetData>
    <row r="1" spans="2:6">
      <c r="B1" s="4" t="s">
        <v>13</v>
      </c>
      <c r="C1" s="5"/>
      <c r="D1" s="5"/>
      <c r="E1" s="5"/>
      <c r="F1" s="6"/>
    </row>
    <row r="2" spans="2:6">
      <c r="B2" s="7"/>
      <c r="C2" s="8"/>
      <c r="D2" s="8"/>
      <c r="E2" s="8"/>
      <c r="F2" s="9"/>
    </row>
    <row r="3" spans="2:6">
      <c r="B3" s="2" t="s">
        <v>8</v>
      </c>
      <c r="C3" s="1" t="s">
        <v>9</v>
      </c>
      <c r="D3" s="1" t="s">
        <v>10</v>
      </c>
      <c r="E3" s="1" t="s">
        <v>11</v>
      </c>
      <c r="F3" s="3" t="s">
        <v>12</v>
      </c>
    </row>
    <row r="4" spans="2:6">
      <c r="B4" s="13"/>
      <c r="C4" s="13"/>
      <c r="D4" s="13"/>
      <c r="E4" s="13"/>
      <c r="F4" s="13"/>
    </row>
    <row r="5" spans="2:6">
      <c r="B5" s="20"/>
      <c r="C5" s="21"/>
      <c r="D5" s="19"/>
      <c r="E5" s="20"/>
      <c r="F5" s="20"/>
    </row>
    <row r="6" spans="2:6">
      <c r="B6" s="20"/>
      <c r="C6" s="21"/>
      <c r="D6" s="19"/>
      <c r="E6" s="20"/>
      <c r="F6" s="20"/>
    </row>
    <row r="7" spans="2:6">
      <c r="B7" s="13"/>
      <c r="C7" s="13"/>
      <c r="D7" s="13"/>
      <c r="E7" s="13"/>
      <c r="F7" s="13"/>
    </row>
  </sheetData>
  <mergeCells count="1">
    <mergeCell ref="B1:F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F5"/>
  <sheetViews>
    <sheetView workbookViewId="0"/>
  </sheetViews>
  <sheetFormatPr defaultRowHeight="15"/>
  <cols>
    <col min="3" max="3" width="10.42578125" bestFit="1" customWidth="1"/>
  </cols>
  <sheetData>
    <row r="1" spans="2:6">
      <c r="B1" s="4" t="s">
        <v>17</v>
      </c>
      <c r="C1" s="5"/>
      <c r="D1" s="5"/>
      <c r="E1" s="5"/>
      <c r="F1" s="6"/>
    </row>
    <row r="2" spans="2:6">
      <c r="B2" s="7"/>
      <c r="C2" s="8"/>
      <c r="D2" s="8"/>
      <c r="E2" s="8"/>
      <c r="F2" s="9"/>
    </row>
    <row r="3" spans="2:6">
      <c r="B3" s="2" t="s">
        <v>8</v>
      </c>
      <c r="C3" s="1" t="s">
        <v>9</v>
      </c>
      <c r="D3" s="1" t="s">
        <v>10</v>
      </c>
      <c r="E3" s="1" t="s">
        <v>11</v>
      </c>
      <c r="F3" s="3" t="s">
        <v>12</v>
      </c>
    </row>
    <row r="4" spans="2:6">
      <c r="B4" s="13"/>
      <c r="C4" s="14"/>
      <c r="D4" s="13"/>
      <c r="E4" s="13"/>
      <c r="F4" s="13"/>
    </row>
    <row r="5" spans="2:6">
      <c r="B5" s="13"/>
      <c r="C5" s="14"/>
      <c r="D5" s="13"/>
      <c r="E5" s="13"/>
      <c r="F5" s="13"/>
    </row>
  </sheetData>
  <mergeCells count="1">
    <mergeCell ref="B1:F2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1:G15"/>
  <sheetViews>
    <sheetView workbookViewId="0">
      <selection activeCell="M8" sqref="M8"/>
    </sheetView>
  </sheetViews>
  <sheetFormatPr defaultRowHeight="15"/>
  <cols>
    <col min="2" max="2" width="13.5703125" customWidth="1"/>
    <col min="3" max="3" width="14.42578125" customWidth="1"/>
    <col min="4" max="4" width="13.5703125" customWidth="1"/>
    <col min="7" max="7" width="9.140625" hidden="1" customWidth="1"/>
  </cols>
  <sheetData>
    <row r="1" spans="2:7">
      <c r="B1" s="10" t="s">
        <v>16</v>
      </c>
      <c r="C1" s="5"/>
      <c r="D1" s="5"/>
      <c r="E1" s="6"/>
    </row>
    <row r="2" spans="2:7">
      <c r="B2" s="7"/>
      <c r="C2" s="8"/>
      <c r="D2" s="8"/>
      <c r="E2" s="9"/>
    </row>
    <row r="3" spans="2:7">
      <c r="B3" s="2" t="s">
        <v>10</v>
      </c>
      <c r="C3" s="1" t="s">
        <v>14</v>
      </c>
      <c r="D3" s="1" t="s">
        <v>15</v>
      </c>
      <c r="E3" s="3" t="s">
        <v>16</v>
      </c>
      <c r="G3" t="s">
        <v>18</v>
      </c>
    </row>
    <row r="4" spans="2:7">
      <c r="B4" s="11"/>
      <c r="C4" s="12">
        <f>SUMIF(Table1[[#All],[Item]],Table3[[#This Row],[Item]],Table1[[#All],[Qty]])</f>
        <v>0</v>
      </c>
      <c r="D4" s="12">
        <f>SUMIF(Table13[[#All],[Item]],Table3[[#This Row],[Item]],Table13[[#All],[Qty]])</f>
        <v>0</v>
      </c>
      <c r="E4" s="12">
        <f>Table3[[#This Row],[P Qty]]-Table3[[#This Row],[S Qty]]</f>
        <v>0</v>
      </c>
      <c r="G4" t="str">
        <f>"&lt;&gt;"</f>
        <v>&lt;&gt;</v>
      </c>
    </row>
    <row r="5" spans="2:7">
      <c r="B5" s="11"/>
      <c r="C5" s="12">
        <f>SUMIF(Table1[[#All],[Item]],Table3[[#This Row],[Item]],Table1[[#All],[Qty]])</f>
        <v>0</v>
      </c>
      <c r="D5" s="12">
        <f>SUMIF(Table13[[#All],[Item]],Table3[[#This Row],[Item]],Table13[[#All],[Qty]])</f>
        <v>0</v>
      </c>
      <c r="E5" s="12">
        <f>Table3[[#This Row],[P Qty]]-Table3[[#This Row],[S Qty]]</f>
        <v>0</v>
      </c>
    </row>
    <row r="6" spans="2:7">
      <c r="B6" s="11"/>
      <c r="C6" s="12">
        <f>SUMIF(Table1[[#All],[Item]],Table3[[#This Row],[Item]],Table1[[#All],[Qty]])</f>
        <v>0</v>
      </c>
      <c r="D6" s="12">
        <f>SUMIF(Table13[[#All],[Item]],Table3[[#This Row],[Item]],Table13[[#All],[Qty]])</f>
        <v>0</v>
      </c>
      <c r="E6" s="12">
        <f>Table3[[#This Row],[P Qty]]-Table3[[#This Row],[S Qty]]</f>
        <v>0</v>
      </c>
    </row>
    <row r="7" spans="2:7">
      <c r="B7" s="13"/>
      <c r="C7" s="12">
        <f>SUMIF(Table1[[#All],[Item]],Table3[[#This Row],[Item]],Table1[[#All],[Qty]])</f>
        <v>0</v>
      </c>
      <c r="D7" s="12">
        <f>SUMIF(Table13[[#All],[Item]],Table3[[#This Row],[Item]],Table13[[#All],[Qty]])</f>
        <v>0</v>
      </c>
      <c r="E7" s="12">
        <f>Table3[[#This Row],[P Qty]]-Table3[[#This Row],[S Qty]]</f>
        <v>0</v>
      </c>
    </row>
    <row r="8" spans="2:7">
      <c r="B8" s="13"/>
      <c r="C8" s="12">
        <f>SUMIF(Table1[[#All],[Item]],Table3[[#This Row],[Item]],Table1[[#All],[Qty]])</f>
        <v>0</v>
      </c>
      <c r="D8" s="12">
        <f>SUMIF(Table13[[#All],[Item]],Table3[[#This Row],[Item]],Table13[[#All],[Qty]])</f>
        <v>0</v>
      </c>
      <c r="E8" s="12">
        <f>Table3[[#This Row],[P Qty]]-Table3[[#This Row],[S Qty]]</f>
        <v>0</v>
      </c>
    </row>
    <row r="9" spans="2:7">
      <c r="B9" s="13"/>
      <c r="C9" s="12">
        <f>SUMIF(Table1[[#All],[Item]],Table3[[#This Row],[Item]],Table1[[#All],[Qty]])</f>
        <v>0</v>
      </c>
      <c r="D9" s="12">
        <f>SUMIF(Table13[[#All],[Item]],Table3[[#This Row],[Item]],Table13[[#All],[Qty]])</f>
        <v>0</v>
      </c>
      <c r="E9" s="12">
        <f>Table3[[#This Row],[P Qty]]-Table3[[#This Row],[S Qty]]</f>
        <v>0</v>
      </c>
    </row>
    <row r="10" spans="2:7">
      <c r="B10" s="13"/>
      <c r="C10" s="12">
        <f>SUMIF(Table1[[#All],[Item]],Table3[[#This Row],[Item]],Table1[[#All],[Qty]])</f>
        <v>0</v>
      </c>
      <c r="D10" s="12">
        <f>SUMIF(Table13[[#All],[Item]],Table3[[#This Row],[Item]],Table13[[#All],[Qty]])</f>
        <v>0</v>
      </c>
      <c r="E10" s="12">
        <f>Table3[[#This Row],[P Qty]]-Table3[[#This Row],[S Qty]]</f>
        <v>0</v>
      </c>
    </row>
    <row r="11" spans="2:7">
      <c r="B11" s="13"/>
      <c r="C11" s="12">
        <f>SUMIF(Table1[[#All],[Item]],Table3[[#This Row],[Item]],Table1[[#All],[Qty]])</f>
        <v>0</v>
      </c>
      <c r="D11" s="12">
        <f>SUMIF(Table13[[#All],[Item]],Table3[[#This Row],[Item]],Table13[[#All],[Qty]])</f>
        <v>0</v>
      </c>
      <c r="E11" s="12">
        <f>Table3[[#This Row],[P Qty]]-Table3[[#This Row],[S Qty]]</f>
        <v>0</v>
      </c>
    </row>
    <row r="12" spans="2:7">
      <c r="B12" s="13"/>
      <c r="C12" s="12">
        <f>SUMIF(Table1[[#All],[Item]],Table3[[#This Row],[Item]],Table1[[#All],[Qty]])</f>
        <v>0</v>
      </c>
      <c r="D12" s="12">
        <f>SUMIF(Table13[[#All],[Item]],Table3[[#This Row],[Item]],Table13[[#All],[Qty]])</f>
        <v>0</v>
      </c>
      <c r="E12" s="12">
        <f>Table3[[#This Row],[P Qty]]-Table3[[#This Row],[S Qty]]</f>
        <v>0</v>
      </c>
    </row>
    <row r="13" spans="2:7">
      <c r="B13" s="13"/>
      <c r="C13" s="12">
        <f>SUMIF(Table1[[#All],[Item]],Table3[[#This Row],[Item]],Table1[[#All],[Qty]])</f>
        <v>0</v>
      </c>
      <c r="D13" s="12">
        <f>SUMIF(Table13[[#All],[Item]],Table3[[#This Row],[Item]],Table13[[#All],[Qty]])</f>
        <v>0</v>
      </c>
      <c r="E13" s="12">
        <f>Table3[[#This Row],[P Qty]]-Table3[[#This Row],[S Qty]]</f>
        <v>0</v>
      </c>
    </row>
    <row r="14" spans="2:7">
      <c r="B14" s="13"/>
      <c r="C14" s="12">
        <f>SUMIF(Table1[[#All],[Item]],Table3[[#This Row],[Item]],Table1[[#All],[Qty]])</f>
        <v>0</v>
      </c>
      <c r="D14" s="12">
        <f>SUMIF(Table13[[#All],[Item]],Table3[[#This Row],[Item]],Table13[[#All],[Qty]])</f>
        <v>0</v>
      </c>
      <c r="E14" s="12">
        <f>Table3[[#This Row],[P Qty]]-Table3[[#This Row],[S Qty]]</f>
        <v>0</v>
      </c>
    </row>
    <row r="15" spans="2:7">
      <c r="B15" s="13"/>
      <c r="C15" s="12">
        <f>SUMIF(Table1[[#All],[Item]],Table3[[#This Row],[Item]],Table1[[#All],[Qty]])</f>
        <v>0</v>
      </c>
      <c r="D15" s="12">
        <f>SUMIF(Table13[[#All],[Item]],Table3[[#This Row],[Item]],Table13[[#All],[Qty]])</f>
        <v>0</v>
      </c>
      <c r="E15" s="12">
        <f>Table3[[#This Row],[P Qty]]-Table3[[#This Row],[S Qty]]</f>
        <v>0</v>
      </c>
    </row>
  </sheetData>
  <mergeCells count="1">
    <mergeCell ref="B1:E2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Home</vt:lpstr>
      <vt:lpstr>Purchase</vt:lpstr>
      <vt:lpstr>Sale</vt:lpstr>
      <vt:lpstr>Stock</vt:lpstr>
      <vt:lpstr>Stock!Criteria</vt:lpstr>
      <vt:lpstr>Stock!Extract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2024-07-28T16:05:20Z</dcterms:created>
  <dcterms:modified xsi:type="dcterms:W3CDTF">2024-08-04T10:42:46Z</dcterms:modified>
</cp:coreProperties>
</file>